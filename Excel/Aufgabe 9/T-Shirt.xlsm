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Schnierer\11 BG PI\Excel\Abgabe_Aufgaben\Marvin Ahl\Aufgabe 9\"/>
    </mc:Choice>
  </mc:AlternateContent>
  <xr:revisionPtr revIDLastSave="0" documentId="13_ncr:1_{0F0461F9-D564-44A2-A836-FB2CAA45644F}" xr6:coauthVersionLast="47" xr6:coauthVersionMax="47" xr10:uidLastSave="{00000000-0000-0000-0000-000000000000}"/>
  <bookViews>
    <workbookView minimized="1" xWindow="1560" yWindow="1560" windowWidth="21600" windowHeight="11385" activeTab="1" xr2:uid="{00000000-000D-0000-FFFF-FFFF00000000}"/>
  </bookViews>
  <sheets>
    <sheet name="Preisliste" sheetId="1" r:id="rId1"/>
    <sheet name="Berechnu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2" l="1"/>
  <c r="C16" i="2"/>
  <c r="B21" i="2"/>
  <c r="D22" i="2" s="1"/>
  <c r="C18" i="2" l="1"/>
  <c r="C21" i="2" s="1"/>
  <c r="E21" i="2" s="1"/>
  <c r="E22" i="2" s="1"/>
  <c r="E23" i="2" l="1"/>
</calcChain>
</file>

<file path=xl/sharedStrings.xml><?xml version="1.0" encoding="utf-8"?>
<sst xmlns="http://schemas.openxmlformats.org/spreadsheetml/2006/main" count="19" uniqueCount="17">
  <si>
    <t>Rabattstaffel</t>
  </si>
  <si>
    <t>ab bestellter Anzahl T-Shirts</t>
  </si>
  <si>
    <t>Ermäßigung in Prozent</t>
  </si>
  <si>
    <t>Preisliste</t>
  </si>
  <si>
    <t>einfarbiger Druck</t>
  </si>
  <si>
    <t>mehrfarbiger Druck</t>
  </si>
  <si>
    <t>Druck Vorderseite</t>
  </si>
  <si>
    <t>Druck Rückseite</t>
  </si>
  <si>
    <t>Druck beidseitig</t>
  </si>
  <si>
    <t>EasyPrint</t>
  </si>
  <si>
    <t>Anzahl</t>
  </si>
  <si>
    <t>Einzelpreis</t>
  </si>
  <si>
    <t>Druck</t>
  </si>
  <si>
    <t>gesamt</t>
  </si>
  <si>
    <t>Farben</t>
  </si>
  <si>
    <t>Gesamt</t>
  </si>
  <si>
    <t>Rabatt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</si>
</sst>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5" xfId="0" applyBorder="1"/>
    <xf numFmtId="9" fontId="0" fillId="0" borderId="0" xfId="2" applyFont="1"/>
    <xf numFmtId="44" fontId="0" fillId="0" borderId="0" xfId="1" applyFont="1"/>
    <xf numFmtId="0" fontId="0" fillId="2" borderId="0" xfId="0" applyFill="1"/>
    <xf numFmtId="0" fontId="0" fillId="2" borderId="0" xfId="0" applyFill="1" applyAlignment="1">
      <alignment horizontal="center"/>
    </xf>
    <xf numFmtId="44" fontId="0" fillId="0" borderId="5" xfId="1" applyFont="1" applyBorder="1"/>
    <xf numFmtId="44" fontId="0" fillId="0" borderId="0" xfId="1" applyFont="1" applyFill="1" applyBorder="1"/>
    <xf numFmtId="0" fontId="3" fillId="0" borderId="0" xfId="0" applyFont="1"/>
    <xf numFmtId="0" fontId="0" fillId="3" borderId="0" xfId="0" applyFill="1"/>
    <xf numFmtId="44" fontId="0" fillId="3" borderId="0" xfId="1" applyFont="1" applyFill="1"/>
    <xf numFmtId="9" fontId="0" fillId="3" borderId="0" xfId="2" applyFont="1" applyFill="1"/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2" borderId="0" xfId="0" applyFont="1" applyFill="1"/>
    <xf numFmtId="0" fontId="2" fillId="2" borderId="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$B$1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firstButton="1" fmlaLink="$C$12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CheckBox" checked="Checked" fmlaLink="$D$12" lockText="1" noThreeD="1"/>
</file>

<file path=xl/ctrlProps/ctrlProp9.xml><?xml version="1.0" encoding="utf-8"?>
<formControlPr xmlns="http://schemas.microsoft.com/office/spreadsheetml/2009/9/main" objectType="Spin" dx="22" fmlaLink="$G$8" max="200" min="1" page="10" val="2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190500</xdr:colOff>
          <xdr:row>9</xdr:row>
          <xdr:rowOff>47625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5</xdr:row>
          <xdr:rowOff>0</xdr:rowOff>
        </xdr:from>
        <xdr:to>
          <xdr:col>3</xdr:col>
          <xdr:colOff>504825</xdr:colOff>
          <xdr:row>8</xdr:row>
          <xdr:rowOff>66675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Farben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63776</xdr:colOff>
          <xdr:row>5</xdr:row>
          <xdr:rowOff>132522</xdr:rowOff>
        </xdr:from>
        <xdr:to>
          <xdr:col>2</xdr:col>
          <xdr:colOff>111401</xdr:colOff>
          <xdr:row>8</xdr:row>
          <xdr:rowOff>159025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825776" y="1104072"/>
              <a:ext cx="809625" cy="598003"/>
              <a:chOff x="825776" y="1043609"/>
              <a:chExt cx="809625" cy="598003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828260" y="1043609"/>
                <a:ext cx="807140" cy="23978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Vorderseite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825776" y="1247774"/>
                <a:ext cx="8096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Rückseite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829502" y="1432062"/>
                <a:ext cx="8001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Beidseitig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397150</xdr:colOff>
          <xdr:row>5</xdr:row>
          <xdr:rowOff>144945</xdr:rowOff>
        </xdr:from>
        <xdr:to>
          <xdr:col>3</xdr:col>
          <xdr:colOff>442705</xdr:colOff>
          <xdr:row>7</xdr:row>
          <xdr:rowOff>177248</xdr:rowOff>
        </xdr:to>
        <xdr:grpSp>
          <xdr:nvGrpSpPr>
            <xdr:cNvPr id="3" name="Gruppieren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921150" y="1116495"/>
              <a:ext cx="807555" cy="413303"/>
              <a:chOff x="1921150" y="1064314"/>
              <a:chExt cx="807555" cy="413303"/>
            </a:xfrm>
          </xdr:grpSpPr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21150" y="1064314"/>
                <a:ext cx="8001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einfarbig</a:t>
                </a:r>
              </a:p>
            </xdr:txBody>
          </xdr:sp>
          <xdr:sp macro="" textlink="">
            <xdr:nvSpPr>
              <xdr:cNvPr id="1034" name="Option 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A040000}"/>
                  </a:ext>
                </a:extLst>
              </xdr:cNvPr>
              <xdr:cNvSpPr/>
            </xdr:nvSpPr>
            <xdr:spPr bwMode="auto">
              <a:xfrm>
                <a:off x="1928605" y="1268067"/>
                <a:ext cx="8001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mehrfarbig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6</xdr:row>
          <xdr:rowOff>104775</xdr:rowOff>
        </xdr:from>
        <xdr:to>
          <xdr:col>5</xdr:col>
          <xdr:colOff>295275</xdr:colOff>
          <xdr:row>7</xdr:row>
          <xdr:rowOff>123825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Rabatt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5</xdr:row>
          <xdr:rowOff>19050</xdr:rowOff>
        </xdr:from>
        <xdr:to>
          <xdr:col>6</xdr:col>
          <xdr:colOff>0</xdr:colOff>
          <xdr:row>9</xdr:row>
          <xdr:rowOff>171450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B1:F10"/>
  <sheetViews>
    <sheetView topLeftCell="B1" zoomScale="130" zoomScaleNormal="130" workbookViewId="0">
      <selection activeCell="E5" sqref="E5"/>
    </sheetView>
  </sheetViews>
  <sheetFormatPr baseColWidth="10" defaultColWidth="9.140625" defaultRowHeight="15" x14ac:dyDescent="0.25"/>
  <cols>
    <col min="1" max="3" width="14.7109375" customWidth="1"/>
    <col min="5" max="5" width="18.28515625" customWidth="1"/>
  </cols>
  <sheetData>
    <row r="1" spans="2:6" ht="15.75" thickBot="1" x14ac:dyDescent="0.3"/>
    <row r="2" spans="2:6" ht="15.75" thickTop="1" x14ac:dyDescent="0.25">
      <c r="B2" s="15" t="s">
        <v>0</v>
      </c>
      <c r="C2" s="16"/>
      <c r="E2" s="15" t="s">
        <v>3</v>
      </c>
      <c r="F2" s="16"/>
    </row>
    <row r="3" spans="2:6" ht="15.75" thickBot="1" x14ac:dyDescent="0.3">
      <c r="B3" s="17"/>
      <c r="C3" s="18"/>
      <c r="E3" s="17"/>
      <c r="F3" s="18"/>
    </row>
    <row r="4" spans="2:6" ht="15.75" thickTop="1" x14ac:dyDescent="0.25">
      <c r="B4" s="19" t="s">
        <v>1</v>
      </c>
      <c r="C4" s="19" t="s">
        <v>2</v>
      </c>
    </row>
    <row r="5" spans="2:6" x14ac:dyDescent="0.25">
      <c r="B5" s="20"/>
      <c r="C5" s="20"/>
      <c r="E5" t="s">
        <v>4</v>
      </c>
      <c r="F5" s="3">
        <v>0.5</v>
      </c>
    </row>
    <row r="6" spans="2:6" x14ac:dyDescent="0.25">
      <c r="B6">
        <v>0</v>
      </c>
      <c r="C6" s="2">
        <v>0</v>
      </c>
      <c r="E6" t="s">
        <v>5</v>
      </c>
      <c r="F6" s="3">
        <v>1</v>
      </c>
    </row>
    <row r="7" spans="2:6" x14ac:dyDescent="0.25">
      <c r="B7">
        <v>25</v>
      </c>
      <c r="C7" s="2">
        <v>0.02</v>
      </c>
      <c r="E7" t="s">
        <v>6</v>
      </c>
      <c r="F7" s="3">
        <v>2.5</v>
      </c>
    </row>
    <row r="8" spans="2:6" x14ac:dyDescent="0.25">
      <c r="B8">
        <v>50</v>
      </c>
      <c r="C8" s="2">
        <v>0.03</v>
      </c>
      <c r="E8" t="s">
        <v>7</v>
      </c>
      <c r="F8" s="3">
        <v>2.5</v>
      </c>
    </row>
    <row r="9" spans="2:6" x14ac:dyDescent="0.25">
      <c r="B9">
        <v>100</v>
      </c>
      <c r="C9" s="2">
        <v>0.05</v>
      </c>
      <c r="E9" t="s">
        <v>8</v>
      </c>
      <c r="F9" s="3">
        <v>4</v>
      </c>
    </row>
    <row r="10" spans="2:6" x14ac:dyDescent="0.25">
      <c r="B10">
        <v>150</v>
      </c>
      <c r="C10" s="2">
        <v>0.08</v>
      </c>
    </row>
  </sheetData>
  <mergeCells count="4">
    <mergeCell ref="E2:F3"/>
    <mergeCell ref="B2:C3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838F1-A285-4B7E-8E83-DF0586F09999}">
  <sheetPr codeName="Tabelle1"/>
  <dimension ref="A1:H23"/>
  <sheetViews>
    <sheetView tabSelected="1" zoomScaleNormal="100" workbookViewId="0">
      <selection activeCell="D22" sqref="D22"/>
    </sheetView>
  </sheetViews>
  <sheetFormatPr baseColWidth="10" defaultRowHeight="15" x14ac:dyDescent="0.25"/>
  <cols>
    <col min="1" max="1" width="11.42578125" customWidth="1"/>
    <col min="8" max="8" width="11.42578125" customWidth="1"/>
  </cols>
  <sheetData>
    <row r="1" spans="1:8" ht="15.75" thickBot="1" x14ac:dyDescent="0.3"/>
    <row r="2" spans="1:8" x14ac:dyDescent="0.25">
      <c r="B2" s="21" t="s">
        <v>9</v>
      </c>
      <c r="C2" s="22"/>
      <c r="D2" s="22"/>
      <c r="E2" s="22"/>
      <c r="F2" s="22"/>
      <c r="G2" s="23"/>
    </row>
    <row r="3" spans="1:8" ht="15.75" thickBot="1" x14ac:dyDescent="0.3">
      <c r="B3" s="24"/>
      <c r="C3" s="25"/>
      <c r="D3" s="25"/>
      <c r="E3" s="25"/>
      <c r="F3" s="25"/>
      <c r="G3" s="26"/>
    </row>
    <row r="5" spans="1:8" x14ac:dyDescent="0.25">
      <c r="A5" s="4"/>
      <c r="B5" s="4"/>
      <c r="C5" s="4"/>
      <c r="D5" s="4"/>
      <c r="E5" s="4"/>
      <c r="F5" s="4"/>
      <c r="G5" s="4"/>
      <c r="H5" s="4"/>
    </row>
    <row r="6" spans="1:8" x14ac:dyDescent="0.25">
      <c r="A6" s="4"/>
      <c r="B6" s="4"/>
      <c r="C6" s="4"/>
      <c r="D6" s="4"/>
      <c r="E6" s="4"/>
      <c r="F6" s="4"/>
      <c r="G6" s="12" t="s">
        <v>10</v>
      </c>
      <c r="H6" s="4"/>
    </row>
    <row r="7" spans="1:8" x14ac:dyDescent="0.25">
      <c r="A7" s="4"/>
      <c r="B7" s="4"/>
      <c r="C7" s="4"/>
      <c r="D7" s="4"/>
      <c r="E7" s="4"/>
      <c r="F7" s="4"/>
      <c r="G7" s="4"/>
      <c r="H7" s="4"/>
    </row>
    <row r="8" spans="1:8" x14ac:dyDescent="0.25">
      <c r="A8" s="4"/>
      <c r="B8" s="4"/>
      <c r="C8" s="4"/>
      <c r="D8" s="4"/>
      <c r="E8" s="4"/>
      <c r="F8" s="4"/>
      <c r="G8" s="5">
        <v>200</v>
      </c>
      <c r="H8" s="4"/>
    </row>
    <row r="9" spans="1:8" x14ac:dyDescent="0.25">
      <c r="A9" s="4"/>
      <c r="B9" s="4"/>
      <c r="C9" s="4"/>
      <c r="D9" s="4"/>
      <c r="E9" s="4"/>
      <c r="F9" s="4"/>
      <c r="G9" s="4"/>
      <c r="H9" s="4"/>
    </row>
    <row r="10" spans="1:8" x14ac:dyDescent="0.25">
      <c r="A10" s="4"/>
      <c r="B10" s="4"/>
      <c r="C10" s="4"/>
      <c r="D10" s="4"/>
      <c r="E10" s="4"/>
      <c r="F10" s="4"/>
      <c r="G10" s="4"/>
      <c r="H10" s="4"/>
    </row>
    <row r="11" spans="1:8" x14ac:dyDescent="0.25">
      <c r="A11" s="4"/>
      <c r="B11" s="4"/>
      <c r="C11" s="4"/>
      <c r="D11" s="4"/>
      <c r="E11" s="4"/>
      <c r="F11" s="4"/>
      <c r="G11" s="4"/>
      <c r="H11" s="4"/>
    </row>
    <row r="12" spans="1:8" x14ac:dyDescent="0.25">
      <c r="B12" s="8">
        <v>3</v>
      </c>
      <c r="C12" s="8">
        <v>2</v>
      </c>
      <c r="D12" s="8" t="b">
        <v>1</v>
      </c>
      <c r="E12" s="13"/>
    </row>
    <row r="14" spans="1:8" x14ac:dyDescent="0.25">
      <c r="B14" s="27" t="s">
        <v>11</v>
      </c>
      <c r="C14" s="27"/>
    </row>
    <row r="16" spans="1:8" x14ac:dyDescent="0.25">
      <c r="B16" t="s">
        <v>12</v>
      </c>
      <c r="C16" s="3">
        <f>IF(B12=1,Preisliste!F7,IF(Berechnung!B12=2,Preisliste!F8,IF(Berechnung!B12=3,Preisliste!F9)))</f>
        <v>4</v>
      </c>
    </row>
    <row r="17" spans="2:5" ht="15.75" thickBot="1" x14ac:dyDescent="0.3">
      <c r="B17" s="9" t="s">
        <v>14</v>
      </c>
      <c r="C17" s="10">
        <f>IF(C12=1,Preisliste!F5,IF(Berechnung!C12=2,Preisliste!F6,0))</f>
        <v>1</v>
      </c>
    </row>
    <row r="18" spans="2:5" ht="15.75" thickTop="1" x14ac:dyDescent="0.25">
      <c r="B18" s="1" t="s">
        <v>13</v>
      </c>
      <c r="C18" s="6">
        <f>SUM(C16+C17)</f>
        <v>5</v>
      </c>
    </row>
    <row r="20" spans="2:5" x14ac:dyDescent="0.25">
      <c r="B20" s="14" t="s">
        <v>10</v>
      </c>
      <c r="C20" s="14" t="s">
        <v>11</v>
      </c>
      <c r="D20" s="14"/>
      <c r="E20" s="14" t="s">
        <v>15</v>
      </c>
    </row>
    <row r="21" spans="2:5" x14ac:dyDescent="0.25">
      <c r="B21">
        <f>G8</f>
        <v>200</v>
      </c>
      <c r="C21" s="7">
        <f>C18</f>
        <v>5</v>
      </c>
      <c r="E21" s="3">
        <f>SUM(B21*C21)</f>
        <v>1000</v>
      </c>
    </row>
    <row r="22" spans="2:5" x14ac:dyDescent="0.25">
      <c r="C22" s="9" t="s">
        <v>16</v>
      </c>
      <c r="D22" s="11">
        <f>IF(D12=TRUE,VLOOKUP(Berechnung!B21, Preisliste!B6:C10,2),0)</f>
        <v>0.08</v>
      </c>
      <c r="E22" s="10">
        <f>SUM(E21*D22)</f>
        <v>80</v>
      </c>
    </row>
    <row r="23" spans="2:5" x14ac:dyDescent="0.25">
      <c r="E23" s="3">
        <f>SUM(E21-E22)</f>
        <v>920</v>
      </c>
    </row>
  </sheetData>
  <mergeCells count="2">
    <mergeCell ref="B2:G3"/>
    <mergeCell ref="B14:C1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1</xdr:col>
                    <xdr:colOff>47625</xdr:colOff>
                    <xdr:row>5</xdr:row>
                    <xdr:rowOff>9525</xdr:rowOff>
                  </from>
                  <to>
                    <xdr:col>2</xdr:col>
                    <xdr:colOff>190500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2</xdr:col>
                    <xdr:colOff>361950</xdr:colOff>
                    <xdr:row>5</xdr:row>
                    <xdr:rowOff>0</xdr:rowOff>
                  </from>
                  <to>
                    <xdr:col>3</xdr:col>
                    <xdr:colOff>504825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>
                  <from>
                    <xdr:col>1</xdr:col>
                    <xdr:colOff>66675</xdr:colOff>
                    <xdr:row>5</xdr:row>
                    <xdr:rowOff>133350</xdr:rowOff>
                  </from>
                  <to>
                    <xdr:col>2</xdr:col>
                    <xdr:colOff>114300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1</xdr:col>
                    <xdr:colOff>66675</xdr:colOff>
                    <xdr:row>6</xdr:row>
                    <xdr:rowOff>142875</xdr:rowOff>
                  </from>
                  <to>
                    <xdr:col>2</xdr:col>
                    <xdr:colOff>114300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>
                <anchor moveWithCells="1">
                  <from>
                    <xdr:col>1</xdr:col>
                    <xdr:colOff>66675</xdr:colOff>
                    <xdr:row>7</xdr:row>
                    <xdr:rowOff>142875</xdr:rowOff>
                  </from>
                  <to>
                    <xdr:col>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2</xdr:col>
                    <xdr:colOff>400050</xdr:colOff>
                    <xdr:row>5</xdr:row>
                    <xdr:rowOff>142875</xdr:rowOff>
                  </from>
                  <to>
                    <xdr:col>3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Option Button 10">
              <controlPr defaultSize="0" autoFill="0" autoLine="0" autoPict="0">
                <anchor moveWithCells="1">
                  <from>
                    <xdr:col>2</xdr:col>
                    <xdr:colOff>400050</xdr:colOff>
                    <xdr:row>6</xdr:row>
                    <xdr:rowOff>161925</xdr:rowOff>
                  </from>
                  <to>
                    <xdr:col>3</xdr:col>
                    <xdr:colOff>438150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3</xdr:col>
                    <xdr:colOff>742950</xdr:colOff>
                    <xdr:row>6</xdr:row>
                    <xdr:rowOff>104775</xdr:rowOff>
                  </from>
                  <to>
                    <xdr:col>5</xdr:col>
                    <xdr:colOff>295275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Spinner 16">
              <controlPr defaultSize="0" autoPict="0">
                <anchor moveWithCells="1" sizeWithCells="1">
                  <from>
                    <xdr:col>5</xdr:col>
                    <xdr:colOff>381000</xdr:colOff>
                    <xdr:row>5</xdr:row>
                    <xdr:rowOff>19050</xdr:rowOff>
                  </from>
                  <to>
                    <xdr:col>6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Preisliste</vt:lpstr>
      <vt:lpstr>Berechnung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P135U20</dc:creator>
  <cp:lastModifiedBy>P135U20</cp:lastModifiedBy>
  <dcterms:created xsi:type="dcterms:W3CDTF">2015-06-05T18:19:34Z</dcterms:created>
  <dcterms:modified xsi:type="dcterms:W3CDTF">2023-03-08T10:56:17Z</dcterms:modified>
</cp:coreProperties>
</file>